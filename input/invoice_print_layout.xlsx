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  <sheet xmlns:r="http://schemas.openxmlformats.org/officeDocument/2006/relationships" name="明細別紙" sheetId="2" state="visible" r:id="rId2"/>
  </sheets>
  <definedNames>
    <definedName name="_xlnm.Print_Titles" localSheetId="0">'請求書'!$1:$11</definedName>
    <definedName name="_xlnm.Print_Area" localSheetId="0">'請求書'!$A$1:$H$33</definedName>
    <definedName name="_xlnm.Print_Area" localSheetId="1">'明細別紙'!$A$1:$F$10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 style="thin">
        <color rgb="00B7C9E2"/>
      </left>
      <right/>
      <top/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/>
      <bottom/>
      <diagonal/>
    </border>
    <border>
      <left style="thin">
        <color rgb="00B7C9E2"/>
      </left>
      <right/>
      <top/>
      <bottom style="thin">
        <color rgb="00B7C9E2"/>
      </bottom>
      <diagonal/>
    </border>
    <border>
      <left/>
      <right/>
      <top/>
      <bottom style="thin">
        <color rgb="00B7C9E2"/>
      </bottom>
      <diagonal/>
    </border>
    <border>
      <left/>
      <right style="thin">
        <color rgb="00B7C9E2"/>
      </right>
      <top/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0" borderId="9" pivotButton="0" quotePrefix="0" xfId="0"/>
    <xf numFmtId="0" fontId="1" fillId="4" borderId="1" applyAlignment="1" pivotButton="0" quotePrefix="0" xfId="0">
      <alignment horizontal="center" vertical="center" wrapText="1"/>
    </xf>
    <xf numFmtId="165" fontId="1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nvoiceAttachmentTable" displayName="InvoiceAttachmentTable" ref="A1:F4" headerRowCount="1">
  <autoFilter ref="A1:F4"/>
  <tableColumns count="6">
    <tableColumn id="1" name="No"/>
    <tableColumn id="2" name="品名"/>
    <tableColumn id="3" name="数量"/>
    <tableColumn id="4" name="単価"/>
    <tableColumn id="5" name="金額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19" customHeight="1">
      <c r="A1" s="1" t="inlineStr">
        <is>
          <t>請求書</t>
        </is>
      </c>
      <c r="B1" s="2" t="n"/>
      <c r="C1" s="2" t="n"/>
      <c r="D1" s="2" t="n"/>
      <c r="E1" s="2" t="n"/>
      <c r="F1" s="2" t="n"/>
      <c r="G1" s="2" t="n"/>
      <c r="H1" s="3" t="n"/>
    </row>
    <row r="2" ht="19" customHeight="1">
      <c r="A2" s="4" t="n"/>
      <c r="B2" s="5" t="n"/>
      <c r="C2" s="5" t="n"/>
      <c r="D2" s="5" t="n"/>
      <c r="E2" s="5" t="n"/>
      <c r="F2" s="5" t="n"/>
      <c r="G2" s="5" t="n"/>
      <c r="H2" s="6" t="n"/>
    </row>
    <row r="3" ht="19" customHeight="1"/>
    <row r="4" ht="19" customHeight="1">
      <c r="A4" s="7" t="inlineStr">
        <is>
          <t>請求先</t>
        </is>
      </c>
      <c r="B4" s="2" t="n"/>
      <c r="C4" s="3" t="n"/>
      <c r="D4" s="8" t="inlineStr">
        <is>
          <t>株式会社サンプル商事 御中</t>
        </is>
      </c>
      <c r="E4" s="2" t="n"/>
      <c r="F4" s="2" t="n"/>
      <c r="G4" s="2" t="n"/>
      <c r="H4" s="3" t="n"/>
    </row>
    <row r="5" ht="19" customHeight="1">
      <c r="A5" s="4" t="n"/>
      <c r="B5" s="5" t="n"/>
      <c r="C5" s="6" t="n"/>
      <c r="D5" s="4" t="n"/>
      <c r="E5" s="5" t="n"/>
      <c r="F5" s="5" t="n"/>
      <c r="G5" s="5" t="n"/>
      <c r="H5" s="6" t="n"/>
    </row>
    <row r="6" ht="19" customHeight="1"/>
    <row r="7" ht="19" customHeight="1">
      <c r="A7" s="7" t="inlineStr">
        <is>
          <t>請求番号</t>
        </is>
      </c>
      <c r="B7" s="9" t="n"/>
      <c r="C7" s="10" t="inlineStr">
        <is>
          <t>INV-202604-015</t>
        </is>
      </c>
      <c r="D7" s="9" t="n"/>
      <c r="E7" s="7" t="inlineStr">
        <is>
          <t>発行日</t>
        </is>
      </c>
      <c r="F7" s="9" t="n"/>
      <c r="G7" s="11" t="n">
        <v>46142</v>
      </c>
      <c r="H7" s="9" t="n"/>
    </row>
    <row r="8" ht="19" customHeight="1"/>
    <row r="9" ht="19" customHeight="1">
      <c r="A9" s="10" t="inlineStr">
        <is>
          <t>下記のとおりご請求申し上げます。</t>
        </is>
      </c>
      <c r="B9" s="12" t="n"/>
      <c r="C9" s="12" t="n"/>
      <c r="D9" s="12" t="n"/>
      <c r="E9" s="12" t="n"/>
      <c r="F9" s="12" t="n"/>
      <c r="G9" s="12" t="n"/>
      <c r="H9" s="9" t="n"/>
    </row>
    <row r="10" ht="19" customHeight="1"/>
    <row r="11" ht="19" customHeight="1">
      <c r="A11" s="7" t="inlineStr">
        <is>
          <t>No</t>
        </is>
      </c>
      <c r="B11" s="7" t="inlineStr">
        <is>
          <t>品名</t>
        </is>
      </c>
      <c r="C11" s="7" t="inlineStr">
        <is>
          <t>数量</t>
        </is>
      </c>
      <c r="D11" s="7" t="inlineStr">
        <is>
          <t>単位</t>
        </is>
      </c>
      <c r="E11" s="7" t="inlineStr">
        <is>
          <t>単価</t>
        </is>
      </c>
      <c r="F11" s="7" t="inlineStr">
        <is>
          <t>金額</t>
        </is>
      </c>
      <c r="G11" s="7" t="inlineStr">
        <is>
          <t>消費税</t>
        </is>
      </c>
      <c r="H11" s="7" t="inlineStr">
        <is>
          <t>備考</t>
        </is>
      </c>
    </row>
    <row r="12" ht="19" customHeight="1">
      <c r="A12" s="13" t="n">
        <v>1</v>
      </c>
      <c r="B12" s="13" t="inlineStr">
        <is>
          <t>月次帳票出力ライセンス</t>
        </is>
      </c>
      <c r="C12" s="13" t="n">
        <v>20</v>
      </c>
      <c r="D12" s="13" t="inlineStr">
        <is>
          <t>本</t>
        </is>
      </c>
      <c r="E12" s="14" t="n">
        <v>12000</v>
      </c>
      <c r="F12" s="14">
        <f>C12*E12</f>
        <v/>
      </c>
      <c r="G12" s="14">
        <f>F12*0.1</f>
        <v/>
      </c>
      <c r="H12" s="15" t="inlineStr">
        <is>
          <t>4月分</t>
        </is>
      </c>
    </row>
    <row r="13" ht="19" customHeight="1">
      <c r="A13" s="13" t="n">
        <v>2</v>
      </c>
      <c r="B13" s="13" t="inlineStr">
        <is>
          <t>API 連携保守</t>
        </is>
      </c>
      <c r="C13" s="13" t="n">
        <v>1</v>
      </c>
      <c r="D13" s="13" t="inlineStr">
        <is>
          <t>式</t>
        </is>
      </c>
      <c r="E13" s="14" t="n">
        <v>180000</v>
      </c>
      <c r="F13" s="14">
        <f>C13*E13</f>
        <v/>
      </c>
      <c r="G13" s="14">
        <f>F13*0.1</f>
        <v/>
      </c>
      <c r="H13" s="15" t="inlineStr">
        <is>
          <t>定額</t>
        </is>
      </c>
    </row>
    <row r="14" ht="19" customHeight="1">
      <c r="A14" s="13" t="n">
        <v>3</v>
      </c>
      <c r="B14" s="13" t="inlineStr">
        <is>
          <t>追加サーバー利用料</t>
        </is>
      </c>
      <c r="C14" s="13" t="n">
        <v>2</v>
      </c>
      <c r="D14" s="13" t="inlineStr">
        <is>
          <t>台</t>
        </is>
      </c>
      <c r="E14" s="14" t="n">
        <v>85000</v>
      </c>
      <c r="F14" s="14">
        <f>C14*E14</f>
        <v/>
      </c>
      <c r="G14" s="14">
        <f>F14*0.1</f>
        <v/>
      </c>
      <c r="H14" s="15" t="inlineStr">
        <is>
          <t>従量課金</t>
        </is>
      </c>
    </row>
    <row r="15" ht="19" customHeight="1">
      <c r="A15" s="13" t="n">
        <v>4</v>
      </c>
      <c r="B15" s="13" t="inlineStr">
        <is>
          <t>帳票テンプレート改修</t>
        </is>
      </c>
      <c r="C15" s="13" t="n">
        <v>1</v>
      </c>
      <c r="D15" s="13" t="inlineStr">
        <is>
          <t>式</t>
        </is>
      </c>
      <c r="E15" s="14" t="n">
        <v>240000</v>
      </c>
      <c r="F15" s="14">
        <f>C15*E15</f>
        <v/>
      </c>
      <c r="G15" s="14">
        <f>F15*0.1</f>
        <v/>
      </c>
      <c r="H15" s="15" t="inlineStr">
        <is>
          <t>別紙参照</t>
        </is>
      </c>
    </row>
    <row r="16" ht="19" customHeight="1"/>
    <row r="17" ht="19" customHeight="1"/>
    <row r="18" ht="19" customHeight="1">
      <c r="D18" s="16" t="inlineStr">
        <is>
          <t>小計</t>
        </is>
      </c>
      <c r="E18" s="9" t="n"/>
      <c r="F18" s="17">
        <f>SUM(F12:F15)</f>
        <v/>
      </c>
      <c r="G18" s="9" t="n"/>
    </row>
    <row r="19" ht="19" customHeight="1">
      <c r="D19" s="16" t="inlineStr">
        <is>
          <t>消費税</t>
        </is>
      </c>
      <c r="E19" s="9" t="n"/>
      <c r="F19" s="17">
        <f>SUM(G12:G15)</f>
        <v/>
      </c>
      <c r="G19" s="9" t="n"/>
    </row>
    <row r="20" ht="19" customHeight="1">
      <c r="D20" s="16" t="inlineStr">
        <is>
          <t>合計</t>
        </is>
      </c>
      <c r="E20" s="9" t="n"/>
      <c r="F20" s="17">
        <f>F18+F19</f>
        <v/>
      </c>
      <c r="G20" s="9" t="n"/>
    </row>
    <row r="21" ht="19" customHeight="1"/>
    <row r="22" ht="19" customHeight="1"/>
    <row r="23" ht="19" customHeight="1">
      <c r="A23" s="8" t="inlineStr">
        <is>
          <t>支払条件: 月末締め翌月末支払い
振込先: 三井住友銀行 東京中央支店 普通 1234567</t>
        </is>
      </c>
      <c r="B23" s="2" t="n"/>
      <c r="C23" s="2" t="n"/>
      <c r="D23" s="2" t="n"/>
      <c r="E23" s="2" t="n"/>
      <c r="F23" s="2" t="n"/>
      <c r="G23" s="2" t="n"/>
      <c r="H23" s="3" t="n"/>
    </row>
    <row r="24" ht="19" customHeight="1">
      <c r="A24" s="18" t="n"/>
      <c r="H24" s="19" t="n"/>
    </row>
    <row r="25" ht="19" customHeight="1">
      <c r="A25" s="18" t="n"/>
      <c r="H25" s="19" t="n"/>
    </row>
    <row r="26" ht="19" customHeight="1">
      <c r="A26" s="4" t="n"/>
      <c r="B26" s="5" t="n"/>
      <c r="C26" s="5" t="n"/>
      <c r="D26" s="5" t="n"/>
      <c r="E26" s="5" t="n"/>
      <c r="F26" s="5" t="n"/>
      <c r="G26" s="5" t="n"/>
      <c r="H26" s="6" t="n"/>
    </row>
    <row r="27" ht="19" customHeight="1"/>
    <row r="28" ht="19" customHeight="1">
      <c r="A28" s="8" t="inlineStr">
        <is>
          <t>備考: 印刷時は A4 縦・1 ページに収まるよう縮小印刷を行う。明細が多い場合は別紙を使用する。</t>
        </is>
      </c>
      <c r="B28" s="2" t="n"/>
      <c r="C28" s="2" t="n"/>
      <c r="D28" s="2" t="n"/>
      <c r="E28" s="2" t="n"/>
      <c r="F28" s="2" t="n"/>
      <c r="G28" s="2" t="n"/>
      <c r="H28" s="3" t="n"/>
    </row>
    <row r="29" ht="19" customHeight="1">
      <c r="A29" s="18" t="n"/>
      <c r="H29" s="19" t="n"/>
    </row>
    <row r="30" ht="19" customHeight="1">
      <c r="A30" s="18" t="n"/>
      <c r="H30" s="19" t="n"/>
    </row>
    <row r="31" ht="19" customHeight="1">
      <c r="A31" s="18" t="n"/>
      <c r="H31" s="19" t="n"/>
    </row>
    <row r="32" ht="19" customHeight="1">
      <c r="A32" s="18" t="n"/>
      <c r="H32" s="19" t="n"/>
    </row>
    <row r="33" ht="19" customHeight="1">
      <c r="A33" s="4" t="n"/>
      <c r="B33" s="5" t="n"/>
      <c r="C33" s="5" t="n"/>
      <c r="D33" s="5" t="n"/>
      <c r="E33" s="5" t="n"/>
      <c r="F33" s="5" t="n"/>
      <c r="G33" s="5" t="n"/>
      <c r="H33" s="6" t="n"/>
    </row>
    <row r="34" ht="19" customHeight="1"/>
    <row r="35" ht="19" customHeight="1"/>
    <row r="36" ht="19" customHeight="1"/>
    <row r="37" ht="19" customHeight="1"/>
  </sheetData>
  <mergeCells count="16">
    <mergeCell ref="A9:H9"/>
    <mergeCell ref="D20:E20"/>
    <mergeCell ref="A23:H26"/>
    <mergeCell ref="C7:D7"/>
    <mergeCell ref="A7:B7"/>
    <mergeCell ref="G7:H7"/>
    <mergeCell ref="D4:H5"/>
    <mergeCell ref="E7:F7"/>
    <mergeCell ref="D19:E19"/>
    <mergeCell ref="F19:G19"/>
    <mergeCell ref="F20:G20"/>
    <mergeCell ref="F18:G18"/>
    <mergeCell ref="A28:H33"/>
    <mergeCell ref="A4:C5"/>
    <mergeCell ref="D18:E18"/>
    <mergeCell ref="A1:H2"/>
  </mergeCells>
  <pageMargins left="0.3" right="0.3" top="0.5" bottom="0.5" header="0.5" footer="0.5"/>
  <pageSetup orientation="portrait" paperSize="9" fitToHeight="1" fitToWidth="1"/>
  <headerFooter>
    <oddHeader>&amp;C請求書</oddHeader>
    <oddFooter>&amp;RPage &amp;P / &amp;N</oddFooter>
    <evenHeader/>
    <evenFooter/>
    <firstHeader/>
    <firstFooter/>
  </headerFooter>
  <rowBreaks count="1" manualBreakCount="1">
    <brk id="3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0" t="inlineStr">
        <is>
          <t>No</t>
        </is>
      </c>
      <c r="B1" s="20" t="inlineStr">
        <is>
          <t>品名</t>
        </is>
      </c>
      <c r="C1" s="20" t="inlineStr">
        <is>
          <t>数量</t>
        </is>
      </c>
      <c r="D1" s="20" t="inlineStr">
        <is>
          <t>単価</t>
        </is>
      </c>
      <c r="E1" s="20" t="inlineStr">
        <is>
          <t>金額</t>
        </is>
      </c>
      <c r="F1" s="20" t="inlineStr">
        <is>
          <t>備考</t>
        </is>
      </c>
    </row>
    <row r="2">
      <c r="A2" s="15" t="n">
        <v>5</v>
      </c>
      <c r="B2" s="15" t="inlineStr">
        <is>
          <t>運用問合せ対応</t>
        </is>
      </c>
      <c r="C2" s="15" t="n">
        <v>12</v>
      </c>
      <c r="D2" s="21" t="n">
        <v>8000</v>
      </c>
      <c r="E2" s="21" t="n">
        <v>96000</v>
      </c>
      <c r="F2" s="15" t="inlineStr">
        <is>
          <t>チケット対応</t>
        </is>
      </c>
    </row>
    <row r="3">
      <c r="A3" s="15" t="n">
        <v>6</v>
      </c>
      <c r="B3" s="15" t="inlineStr">
        <is>
          <t>帳票検証支援</t>
        </is>
      </c>
      <c r="C3" s="15" t="n">
        <v>6</v>
      </c>
      <c r="D3" s="21" t="n">
        <v>15000</v>
      </c>
      <c r="E3" s="21" t="n">
        <v>90000</v>
      </c>
      <c r="F3" s="15" t="inlineStr">
        <is>
          <t>テスト支援</t>
        </is>
      </c>
    </row>
    <row r="4">
      <c r="A4" s="15" t="n">
        <v>7</v>
      </c>
      <c r="B4" s="15" t="inlineStr">
        <is>
          <t>夜間リリース立会い</t>
        </is>
      </c>
      <c r="C4" s="15" t="n">
        <v>2</v>
      </c>
      <c r="D4" s="21" t="n">
        <v>35000</v>
      </c>
      <c r="E4" s="21" t="n">
        <v>70000</v>
      </c>
      <c r="F4" s="15" t="inlineStr">
        <is>
          <t>休日作業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