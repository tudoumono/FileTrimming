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集計" sheetId="1" state="visible" r:id="rId1"/>
    <sheet xmlns:r="http://schemas.openxmlformats.org/officeDocument/2006/relationships" name="KPI" sheetId="2" state="visible" r:id="rId2"/>
  </sheets>
  <definedNames>
    <definedName name="_xlnm._FilterDatabase" localSheetId="0" hidden="1">'売上集計'!$A$1:$J$13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m/dd"/>
    <numFmt numFmtId="166" formatCode="&quot;¥&quot;#,##0"/>
    <numFmt numFmtId="167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7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piTable" displayName="KpiTable" ref="A1:E5" headerRowCount="1">
  <autoFilter ref="A1:E5"/>
  <tableColumns count="5">
    <tableColumn id="1" name="KPI"/>
    <tableColumn id="2" name="目標"/>
    <tableColumn id="3" name="実績"/>
    <tableColumn id="4" name="差分"/>
    <tableColumn id="5" name="達成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3" customWidth="1" min="10" max="10"/>
  </cols>
  <sheetData>
    <row r="1">
      <c r="A1" s="1" t="inlineStr">
        <is>
          <t>日付</t>
        </is>
      </c>
      <c r="B1" s="1" t="inlineStr">
        <is>
          <t>部門</t>
        </is>
      </c>
      <c r="C1" s="1" t="inlineStr">
        <is>
          <t>担当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売上</t>
        </is>
      </c>
      <c r="G1" s="1" t="inlineStr">
        <is>
          <t>消費税</t>
        </is>
      </c>
      <c r="H1" s="1" t="inlineStr">
        <is>
          <t>税込売上</t>
        </is>
      </c>
      <c r="I1" s="1" t="inlineStr">
        <is>
          <t>達成率</t>
        </is>
      </c>
      <c r="J1" s="1" t="inlineStr">
        <is>
          <t>判定</t>
        </is>
      </c>
    </row>
    <row r="2">
      <c r="A2" s="2" t="n">
        <v>46113</v>
      </c>
      <c r="B2" s="3" t="inlineStr">
        <is>
          <t>営業1課</t>
        </is>
      </c>
      <c r="C2" s="3" t="inlineStr">
        <is>
          <t>田中</t>
        </is>
      </c>
      <c r="D2" s="4" t="n">
        <v>14</v>
      </c>
      <c r="E2" s="5" t="n">
        <v>12700</v>
      </c>
      <c r="F2" s="5">
        <f>D2*E2</f>
        <v/>
      </c>
      <c r="G2" s="5">
        <f>F2*0.1</f>
        <v/>
      </c>
      <c r="H2" s="5">
        <f>F2+G2</f>
        <v/>
      </c>
      <c r="I2" s="6">
        <f>F2/250000</f>
        <v/>
      </c>
      <c r="J2" s="3">
        <f>IF(I2&gt;=1,"達成","未達")</f>
        <v/>
      </c>
    </row>
    <row r="3">
      <c r="A3" s="2" t="n">
        <v>46114</v>
      </c>
      <c r="B3" s="3" t="inlineStr">
        <is>
          <t>営業2課</t>
        </is>
      </c>
      <c r="C3" s="3" t="inlineStr">
        <is>
          <t>鈴木</t>
        </is>
      </c>
      <c r="D3" s="4" t="n">
        <v>16</v>
      </c>
      <c r="E3" s="5" t="n">
        <v>13050</v>
      </c>
      <c r="F3" s="5">
        <f>D3*E3</f>
        <v/>
      </c>
      <c r="G3" s="5">
        <f>F3*0.1</f>
        <v/>
      </c>
      <c r="H3" s="5">
        <f>F3+G3</f>
        <v/>
      </c>
      <c r="I3" s="6">
        <f>F3/250000</f>
        <v/>
      </c>
      <c r="J3" s="3">
        <f>IF(I3&gt;=1,"達成","未達")</f>
        <v/>
      </c>
    </row>
    <row r="4">
      <c r="A4" s="2" t="n">
        <v>46115</v>
      </c>
      <c r="B4" s="3" t="inlineStr">
        <is>
          <t>営業3課</t>
        </is>
      </c>
      <c r="C4" s="3" t="inlineStr">
        <is>
          <t>佐藤</t>
        </is>
      </c>
      <c r="D4" s="4" t="n">
        <v>18</v>
      </c>
      <c r="E4" s="5" t="n">
        <v>13400</v>
      </c>
      <c r="F4" s="5">
        <f>D4*E4</f>
        <v/>
      </c>
      <c r="G4" s="5">
        <f>F4*0.1</f>
        <v/>
      </c>
      <c r="H4" s="5">
        <f>F4+G4</f>
        <v/>
      </c>
      <c r="I4" s="6">
        <f>F4/250000</f>
        <v/>
      </c>
      <c r="J4" s="3">
        <f>IF(I4&gt;=1,"達成","未達")</f>
        <v/>
      </c>
    </row>
    <row r="5">
      <c r="A5" s="2" t="n">
        <v>46116</v>
      </c>
      <c r="B5" s="3" t="inlineStr">
        <is>
          <t>営業4課</t>
        </is>
      </c>
      <c r="C5" s="3" t="inlineStr">
        <is>
          <t>高橋</t>
        </is>
      </c>
      <c r="D5" s="4" t="n">
        <v>20</v>
      </c>
      <c r="E5" s="5" t="n">
        <v>13750</v>
      </c>
      <c r="F5" s="5">
        <f>D5*E5</f>
        <v/>
      </c>
      <c r="G5" s="5">
        <f>F5*0.1</f>
        <v/>
      </c>
      <c r="H5" s="5">
        <f>F5+G5</f>
        <v/>
      </c>
      <c r="I5" s="6">
        <f>F5/250000</f>
        <v/>
      </c>
      <c r="J5" s="3">
        <f>IF(I5&gt;=1,"達成","未達")</f>
        <v/>
      </c>
    </row>
    <row r="6">
      <c r="A6" s="2" t="n">
        <v>46117</v>
      </c>
      <c r="B6" s="3" t="inlineStr">
        <is>
          <t>営業1課</t>
        </is>
      </c>
      <c r="C6" s="3" t="inlineStr">
        <is>
          <t>伊藤</t>
        </is>
      </c>
      <c r="D6" s="4" t="n">
        <v>22</v>
      </c>
      <c r="E6" s="5" t="n">
        <v>14100</v>
      </c>
      <c r="F6" s="5">
        <f>D6*E6</f>
        <v/>
      </c>
      <c r="G6" s="5">
        <f>F6*0.1</f>
        <v/>
      </c>
      <c r="H6" s="5">
        <f>F6+G6</f>
        <v/>
      </c>
      <c r="I6" s="6">
        <f>F6/250000</f>
        <v/>
      </c>
      <c r="J6" s="3">
        <f>IF(I6&gt;=1,"達成","未達")</f>
        <v/>
      </c>
    </row>
    <row r="7">
      <c r="A7" s="2" t="n">
        <v>46118</v>
      </c>
      <c r="B7" s="3" t="inlineStr">
        <is>
          <t>営業2課</t>
        </is>
      </c>
      <c r="C7" s="3" t="inlineStr">
        <is>
          <t>渡辺</t>
        </is>
      </c>
      <c r="D7" s="4" t="n">
        <v>24</v>
      </c>
      <c r="E7" s="5" t="n">
        <v>14450</v>
      </c>
      <c r="F7" s="5">
        <f>D7*E7</f>
        <v/>
      </c>
      <c r="G7" s="5">
        <f>F7*0.1</f>
        <v/>
      </c>
      <c r="H7" s="5">
        <f>F7+G7</f>
        <v/>
      </c>
      <c r="I7" s="6">
        <f>F7/250000</f>
        <v/>
      </c>
      <c r="J7" s="3">
        <f>IF(I7&gt;=1,"達成","未達")</f>
        <v/>
      </c>
    </row>
    <row r="8">
      <c r="A8" s="2" t="n">
        <v>46119</v>
      </c>
      <c r="B8" s="3" t="inlineStr">
        <is>
          <t>営業3課</t>
        </is>
      </c>
      <c r="C8" s="3" t="inlineStr">
        <is>
          <t>田中</t>
        </is>
      </c>
      <c r="D8" s="4" t="n">
        <v>26</v>
      </c>
      <c r="E8" s="5" t="n">
        <v>14800</v>
      </c>
      <c r="F8" s="5">
        <f>D8*E8</f>
        <v/>
      </c>
      <c r="G8" s="5">
        <f>F8*0.1</f>
        <v/>
      </c>
      <c r="H8" s="5">
        <f>F8+G8</f>
        <v/>
      </c>
      <c r="I8" s="6">
        <f>F8/250000</f>
        <v/>
      </c>
      <c r="J8" s="3">
        <f>IF(I8&gt;=1,"達成","未達")</f>
        <v/>
      </c>
    </row>
    <row r="9">
      <c r="A9" s="2" t="n">
        <v>46120</v>
      </c>
      <c r="B9" s="3" t="inlineStr">
        <is>
          <t>営業4課</t>
        </is>
      </c>
      <c r="C9" s="3" t="inlineStr">
        <is>
          <t>鈴木</t>
        </is>
      </c>
      <c r="D9" s="4" t="n">
        <v>28</v>
      </c>
      <c r="E9" s="5" t="n">
        <v>15150</v>
      </c>
      <c r="F9" s="5">
        <f>D9*E9</f>
        <v/>
      </c>
      <c r="G9" s="5">
        <f>F9*0.1</f>
        <v/>
      </c>
      <c r="H9" s="5">
        <f>F9+G9</f>
        <v/>
      </c>
      <c r="I9" s="6">
        <f>F9/250000</f>
        <v/>
      </c>
      <c r="J9" s="3">
        <f>IF(I9&gt;=1,"達成","未達")</f>
        <v/>
      </c>
    </row>
    <row r="10">
      <c r="A10" s="2" t="n">
        <v>46121</v>
      </c>
      <c r="B10" s="3" t="inlineStr">
        <is>
          <t>営業1課</t>
        </is>
      </c>
      <c r="C10" s="3" t="inlineStr">
        <is>
          <t>佐藤</t>
        </is>
      </c>
      <c r="D10" s="4" t="n">
        <v>30</v>
      </c>
      <c r="E10" s="5" t="n">
        <v>15500</v>
      </c>
      <c r="F10" s="5">
        <f>D10*E10</f>
        <v/>
      </c>
      <c r="G10" s="5">
        <f>F10*0.1</f>
        <v/>
      </c>
      <c r="H10" s="5">
        <f>F10+G10</f>
        <v/>
      </c>
      <c r="I10" s="6">
        <f>F10/250000</f>
        <v/>
      </c>
      <c r="J10" s="3">
        <f>IF(I10&gt;=1,"達成","未達")</f>
        <v/>
      </c>
    </row>
    <row r="11">
      <c r="A11" s="2" t="n">
        <v>46122</v>
      </c>
      <c r="B11" s="3" t="inlineStr">
        <is>
          <t>営業2課</t>
        </is>
      </c>
      <c r="C11" s="3" t="inlineStr">
        <is>
          <t>高橋</t>
        </is>
      </c>
      <c r="D11" s="4" t="n">
        <v>32</v>
      </c>
      <c r="E11" s="5" t="n">
        <v>15850</v>
      </c>
      <c r="F11" s="5">
        <f>D11*E11</f>
        <v/>
      </c>
      <c r="G11" s="5">
        <f>F11*0.1</f>
        <v/>
      </c>
      <c r="H11" s="5">
        <f>F11+G11</f>
        <v/>
      </c>
      <c r="I11" s="6">
        <f>F11/250000</f>
        <v/>
      </c>
      <c r="J11" s="3">
        <f>IF(I11&gt;=1,"達成","未達")</f>
        <v/>
      </c>
    </row>
    <row r="12">
      <c r="A12" s="2" t="n">
        <v>46123</v>
      </c>
      <c r="B12" s="3" t="inlineStr">
        <is>
          <t>営業3課</t>
        </is>
      </c>
      <c r="C12" s="3" t="inlineStr">
        <is>
          <t>伊藤</t>
        </is>
      </c>
      <c r="D12" s="4" t="n">
        <v>34</v>
      </c>
      <c r="E12" s="5" t="n">
        <v>16200</v>
      </c>
      <c r="F12" s="5">
        <f>D12*E12</f>
        <v/>
      </c>
      <c r="G12" s="5">
        <f>F12*0.1</f>
        <v/>
      </c>
      <c r="H12" s="5">
        <f>F12+G12</f>
        <v/>
      </c>
      <c r="I12" s="6">
        <f>F12/250000</f>
        <v/>
      </c>
      <c r="J12" s="3">
        <f>IF(I12&gt;=1,"達成","未達")</f>
        <v/>
      </c>
    </row>
    <row r="13">
      <c r="A13" s="2" t="n">
        <v>46124</v>
      </c>
      <c r="B13" s="3" t="inlineStr">
        <is>
          <t>営業4課</t>
        </is>
      </c>
      <c r="C13" s="3" t="inlineStr">
        <is>
          <t>渡辺</t>
        </is>
      </c>
      <c r="D13" s="4" t="n">
        <v>36</v>
      </c>
      <c r="E13" s="5" t="n">
        <v>16550</v>
      </c>
      <c r="F13" s="5">
        <f>D13*E13</f>
        <v/>
      </c>
      <c r="G13" s="5">
        <f>F13*0.1</f>
        <v/>
      </c>
      <c r="H13" s="5">
        <f>F13+G13</f>
        <v/>
      </c>
      <c r="I13" s="6">
        <f>F13/250000</f>
        <v/>
      </c>
      <c r="J13" s="3">
        <f>IF(I13&gt;=1,"達成","未達")</f>
        <v/>
      </c>
    </row>
    <row r="14"/>
    <row r="15">
      <c r="A15" s="7" t="inlineStr">
        <is>
          <t>合計</t>
        </is>
      </c>
      <c r="D15" s="7">
        <f>SUM(D2:D13)</f>
        <v/>
      </c>
      <c r="E15" s="7">
        <f>SUM(E2:E13)</f>
        <v/>
      </c>
      <c r="F15" s="7">
        <f>SUM(F2:F13)</f>
        <v/>
      </c>
      <c r="G15" s="7">
        <f>SUM(G2:G13)</f>
        <v/>
      </c>
      <c r="H15" s="7">
        <f>SUM(H2:H13)</f>
        <v/>
      </c>
      <c r="I15" s="8">
        <f>AVERAGE(I2:I13)</f>
        <v/>
      </c>
    </row>
  </sheetData>
  <autoFilter ref="A1:J13"/>
  <conditionalFormatting sqref="I2:I13">
    <cfRule type="cellIs" priority="1" operator="lessThan" dxfId="0" stopIfTrue="1">
      <formula>1</formula>
    </cfRule>
    <cfRule type="cellIs" priority="2" operator="greaterThanOrEqual" dxfId="1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8" customWidth="1" min="7" max="7"/>
  </cols>
  <sheetData>
    <row r="1">
      <c r="A1" s="1" t="inlineStr">
        <is>
          <t>KPI</t>
        </is>
      </c>
      <c r="B1" s="1" t="inlineStr">
        <is>
          <t>目標</t>
        </is>
      </c>
      <c r="C1" s="1" t="inlineStr">
        <is>
          <t>実績</t>
        </is>
      </c>
      <c r="D1" s="1" t="inlineStr">
        <is>
          <t>差分</t>
        </is>
      </c>
      <c r="E1" s="1" t="inlineStr">
        <is>
          <t>達成率</t>
        </is>
      </c>
    </row>
    <row r="2">
      <c r="A2" s="3" t="inlineStr">
        <is>
          <t>処理件数</t>
        </is>
      </c>
      <c r="B2" s="4" t="n">
        <v>1500</v>
      </c>
      <c r="C2" s="4" t="n">
        <v>1620</v>
      </c>
      <c r="D2" s="4">
        <f>C2-B2</f>
        <v/>
      </c>
      <c r="E2" s="6">
        <f>C2/B2</f>
        <v/>
      </c>
      <c r="G2" s="9" t="inlineStr">
        <is>
          <t>備考</t>
        </is>
      </c>
    </row>
    <row r="3">
      <c r="A3" s="3" t="inlineStr">
        <is>
          <t>障害件数</t>
        </is>
      </c>
      <c r="B3" s="4" t="n">
        <v>5</v>
      </c>
      <c r="C3" s="4" t="n">
        <v>3</v>
      </c>
      <c r="D3" s="4">
        <f>C3-B3</f>
        <v/>
      </c>
      <c r="E3" s="6">
        <f>C3/B3</f>
        <v/>
      </c>
      <c r="G3" s="3" t="inlineStr">
        <is>
          <t>数式セルは Excel で開いたときに再計算される。</t>
        </is>
      </c>
    </row>
    <row r="4">
      <c r="A4" s="3" t="inlineStr">
        <is>
          <t>平均応答(ms)</t>
        </is>
      </c>
      <c r="B4" s="4" t="n">
        <v>700</v>
      </c>
      <c r="C4" s="4" t="n">
        <v>640</v>
      </c>
      <c r="D4" s="4">
        <f>C4-B4</f>
        <v/>
      </c>
      <c r="E4" s="6">
        <f>C4/B4</f>
        <v/>
      </c>
    </row>
    <row r="5">
      <c r="A5" s="3" t="inlineStr">
        <is>
          <t>帳票出力件数</t>
        </is>
      </c>
      <c r="B5" s="4" t="n">
        <v>420</v>
      </c>
      <c r="C5" s="4" t="n">
        <v>390</v>
      </c>
      <c r="D5" s="4">
        <f>C5-B5</f>
        <v/>
      </c>
      <c r="E5" s="6">
        <f>C5/B5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2026-03-15T14:52:13Z</dcterms:created>
  <dcterms:modified xmlns:dcterms="http://purl.org/dc/terms/" xmlns:xsi="http://www.w3.org/2001/XMLSchema-instance" xsi:type="dcterms:W3CDTF">2026-03-15T14:52:13Z</dcterms:modified>
</cp:coreProperties>
</file>