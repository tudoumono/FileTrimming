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機能一覧" sheetId="2" state="visible" r:id="rId2"/>
    <sheet xmlns:r="http://schemas.openxmlformats.org/officeDocument/2006/relationships" name="フロー" sheetId="3" state="visible" r:id="rId3"/>
    <sheet xmlns:r="http://schemas.openxmlformats.org/officeDocument/2006/relationships" name="設定" sheetId="4" state="visible" r:id="rId4"/>
    <sheet xmlns:r="http://schemas.openxmlformats.org/officeDocument/2006/relationships" name="マスタ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architect</author>
  </authors>
  <commentList>
    <comment ref="D4" authorId="0" shapeId="0">
      <text>
        <t>構造保持と Markdown 化の両方を見る。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4000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MetaTable" displayName="MetaTable" ref="A3:B7" headerRowCount="1">
  <autoFilter ref="A3:B7"/>
  <tableColumns count="2">
    <tableColumn id="1" name="項目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tureTable" displayName="FeatureTable" ref="A1:E5" headerRowCount="1">
  <autoFilter ref="A1:E5"/>
  <tableColumns count="5">
    <tableColumn id="1" name="機能ID"/>
    <tableColumn id="2" name="機能名"/>
    <tableColumn id="3" name="種別"/>
    <tableColumn id="4" name="状態"/>
    <tableColumn id="5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ttingsTable" displayName="SettingsTable" ref="A1:D5" headerRowCount="1">
  <autoFilter ref="A1:D5"/>
  <tableColumns count="4">
    <tableColumn id="1" name="パラメータ"/>
    <tableColumn id="2" name="現在値"/>
    <tableColumn id="3" name="初期値"/>
    <tableColumn id="4" name="判定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機能仕様書（Excel 総合テスト）</t>
        </is>
      </c>
      <c r="B1" s="2" t="n"/>
      <c r="C1" s="2" t="n"/>
      <c r="D1" s="2" t="n"/>
      <c r="E1" s="2" t="n"/>
      <c r="F1" s="3" t="n"/>
    </row>
    <row r="2"/>
    <row r="3">
      <c r="A3" s="4" t="inlineStr">
        <is>
          <t>項目</t>
        </is>
      </c>
      <c r="B3" s="4" t="inlineStr">
        <is>
          <t>内容</t>
        </is>
      </c>
      <c r="D3" s="5" t="inlineStr">
        <is>
          <t>レビューコメント</t>
        </is>
      </c>
    </row>
    <row r="4">
      <c r="A4" s="6" t="inlineStr">
        <is>
          <t>システム名</t>
        </is>
      </c>
      <c r="B4" s="6" t="inlineStr">
        <is>
          <t>販売管理システム</t>
        </is>
      </c>
      <c r="D4" s="6" t="inlineStr">
        <is>
          <t>シートごとに別の観点を持たせる。</t>
        </is>
      </c>
    </row>
    <row r="5">
      <c r="A5" s="6" t="inlineStr">
        <is>
          <t>版数</t>
        </is>
      </c>
      <c r="B5" s="6" t="inlineStr">
        <is>
          <t>2.4</t>
        </is>
      </c>
    </row>
    <row r="6">
      <c r="A6" s="6" t="inlineStr">
        <is>
          <t>作成日</t>
        </is>
      </c>
      <c r="B6" s="7" t="n">
        <v>46096</v>
      </c>
    </row>
    <row r="7">
      <c r="A7" s="6" t="inlineStr">
        <is>
          <t>担当</t>
        </is>
      </c>
      <c r="B7" s="6" t="inlineStr">
        <is>
          <t>業務設計チーム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機能ID</t>
        </is>
      </c>
      <c r="B1" s="4" t="inlineStr">
        <is>
          <t>機能名</t>
        </is>
      </c>
      <c r="C1" s="4" t="inlineStr">
        <is>
          <t>種別</t>
        </is>
      </c>
      <c r="D1" s="4" t="inlineStr">
        <is>
          <t>状態</t>
        </is>
      </c>
      <c r="E1" s="4" t="inlineStr">
        <is>
          <t>備考</t>
        </is>
      </c>
    </row>
    <row r="2">
      <c r="A2" s="6" t="inlineStr">
        <is>
          <t>F001</t>
        </is>
      </c>
      <c r="B2" s="6" t="inlineStr">
        <is>
          <t>ログイン</t>
        </is>
      </c>
      <c r="C2" s="6" t="inlineStr">
        <is>
          <t>画面</t>
        </is>
      </c>
      <c r="D2" s="6" t="inlineStr">
        <is>
          <t>稼働中</t>
        </is>
      </c>
      <c r="E2" s="6" t="inlineStr">
        <is>
          <t>認証基盤連携あり</t>
        </is>
      </c>
    </row>
    <row r="3">
      <c r="A3" s="6" t="inlineStr">
        <is>
          <t>F002</t>
        </is>
      </c>
      <c r="B3" s="6" t="inlineStr">
        <is>
          <t>受注一覧</t>
        </is>
      </c>
      <c r="C3" s="6" t="inlineStr">
        <is>
          <t>画面</t>
        </is>
      </c>
      <c r="D3" s="6" t="inlineStr">
        <is>
          <t>稼働中</t>
        </is>
      </c>
      <c r="E3" s="6" t="inlineStr">
        <is>
          <t>検索条件が多い</t>
        </is>
      </c>
    </row>
    <row r="4">
      <c r="A4" s="6" t="inlineStr">
        <is>
          <t>F003</t>
        </is>
      </c>
      <c r="B4" s="6" t="inlineStr">
        <is>
          <t>CSV 出力</t>
        </is>
      </c>
      <c r="C4" s="6" t="inlineStr">
        <is>
          <t>帳票</t>
        </is>
      </c>
      <c r="D4" s="6" t="inlineStr">
        <is>
          <t>テスト中</t>
        </is>
      </c>
      <c r="E4" s="6" t="inlineStr">
        <is>
          <t>列順固定</t>
        </is>
      </c>
    </row>
    <row r="5">
      <c r="A5" s="6" t="inlineStr">
        <is>
          <t>F004</t>
        </is>
      </c>
      <c r="B5" s="6" t="inlineStr">
        <is>
          <t>日次集計</t>
        </is>
      </c>
      <c r="C5" s="6" t="inlineStr">
        <is>
          <t>バッチ</t>
        </is>
      </c>
      <c r="D5" s="6" t="inlineStr">
        <is>
          <t>開発中</t>
        </is>
      </c>
      <c r="E5" s="6" t="inlineStr">
        <is>
          <t>深夜実行</t>
        </is>
      </c>
    </row>
  </sheetData>
  <dataValidations count="1">
    <dataValidation sqref="C2:C20" showDropDown="0" showInputMessage="0" showErrorMessage="0" allowBlank="0" type="list">
      <formula1>"画面,帳票,バッチ,API"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ワークフロー図イメージ</t>
        </is>
      </c>
      <c r="B1" s="2" t="n"/>
      <c r="C1" s="2" t="n"/>
      <c r="D1" s="2" t="n"/>
      <c r="E1" s="2" t="n"/>
      <c r="F1" s="2" t="n"/>
      <c r="G1" s="3" t="n"/>
    </row>
    <row r="2"/>
    <row r="3"/>
    <row r="4"/>
    <row r="5"/>
    <row r="6"/>
    <row r="7"/>
    <row r="8"/>
    <row r="9"/>
    <row r="10"/>
    <row r="11">
      <c r="B11" s="5" t="inlineStr">
        <is>
          <t>図の横に補足メモ</t>
        </is>
      </c>
      <c r="C11" s="6" t="inlineStr">
        <is>
          <t>画像だけでなく近接テキストも保持したい。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</cols>
  <sheetData>
    <row r="1">
      <c r="A1" s="4" t="inlineStr">
        <is>
          <t>パラメータ</t>
        </is>
      </c>
      <c r="B1" s="4" t="inlineStr">
        <is>
          <t>現在値</t>
        </is>
      </c>
      <c r="C1" s="4" t="inlineStr">
        <is>
          <t>初期値</t>
        </is>
      </c>
      <c r="D1" s="4" t="inlineStr">
        <is>
          <t>判定</t>
        </is>
      </c>
    </row>
    <row r="2">
      <c r="A2" s="6" t="inlineStr">
        <is>
          <t>TOKEN_LIMIT</t>
        </is>
      </c>
      <c r="B2" s="6" t="n">
        <v>8000</v>
      </c>
      <c r="C2" s="6" t="n">
        <v>6000</v>
      </c>
      <c r="D2" s="8">
        <f>IF(B2&gt;=C2,"OK","要確認")</f>
        <v/>
      </c>
    </row>
    <row r="3">
      <c r="A3" s="6" t="inlineStr">
        <is>
          <t>MAX_RETRY</t>
        </is>
      </c>
      <c r="B3" s="6" t="n">
        <v>3</v>
      </c>
      <c r="C3" s="6" t="n">
        <v>3</v>
      </c>
      <c r="D3" s="8">
        <f>IF(B3=C3,"OK","要確認")</f>
        <v/>
      </c>
    </row>
    <row r="4">
      <c r="A4" s="6" t="inlineStr">
        <is>
          <t>TIMEOUT_SEC</t>
        </is>
      </c>
      <c r="B4" s="6" t="n">
        <v>45</v>
      </c>
      <c r="C4" s="6" t="n">
        <v>30</v>
      </c>
      <c r="D4" s="8">
        <f>IF(B4&lt;=60,"OK","要確認")</f>
        <v/>
      </c>
    </row>
    <row r="5">
      <c r="A5" s="6" t="inlineStr">
        <is>
          <t>BATCH_SIZE</t>
        </is>
      </c>
      <c r="B5" s="6" t="n">
        <v>1500</v>
      </c>
      <c r="C5" s="6" t="n">
        <v>1000</v>
      </c>
      <c r="D5" s="8">
        <f>IF(B5&gt;=C5,"OK","要確認")</f>
        <v/>
      </c>
    </row>
    <row r="6"/>
    <row r="7"/>
    <row r="8">
      <c r="A8" s="5" t="inlineStr">
        <is>
          <t>複合ヘッダ</t>
        </is>
      </c>
      <c r="B8" s="2" t="n"/>
      <c r="C8" s="2" t="n"/>
      <c r="D8" s="3" t="n"/>
    </row>
    <row r="9">
      <c r="A9" s="9" t="inlineStr">
        <is>
          <t>出力</t>
        </is>
      </c>
      <c r="B9" s="3" t="n"/>
      <c r="C9" s="9" t="inlineStr">
        <is>
          <t>入力</t>
        </is>
      </c>
      <c r="D9" s="3" t="n"/>
    </row>
  </sheetData>
  <mergeCells count="3">
    <mergeCell ref="A9:B9"/>
    <mergeCell ref="A8:D8"/>
    <mergeCell ref="C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状態</t>
        </is>
      </c>
    </row>
    <row r="2">
      <c r="A2" t="inlineStr">
        <is>
          <t>稼働中</t>
        </is>
      </c>
    </row>
    <row r="3">
      <c r="A3" t="inlineStr">
        <is>
          <t>テスト中</t>
        </is>
      </c>
    </row>
    <row r="4">
      <c r="A4" t="inlineStr">
        <is>
          <t>開発中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