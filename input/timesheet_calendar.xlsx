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04月勤怠" sheetId="1" state="visible" r:id="rId1"/>
    <sheet xmlns:r="http://schemas.openxmlformats.org/officeDocument/2006/relationships" name="シフ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  <border>
      <left style="thin">
        <color rgb="00B7C9E2"/>
      </left>
      <right/>
      <top/>
      <bottom/>
      <diagonal/>
    </border>
    <border>
      <left style="thin">
        <color rgb="00B7C9E2"/>
      </left>
      <right style="thin">
        <color rgb="00B7C9E2"/>
      </right>
      <top/>
      <bottom/>
      <diagonal/>
    </border>
    <border>
      <left style="thin">
        <color rgb="00B7C9E2"/>
      </left>
      <right style="thin">
        <color rgb="00B7C9E2"/>
      </right>
      <top/>
      <bottom style="thin">
        <color rgb="00B7C9E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8" pivotButton="0" quotePrefix="0" xfId="0"/>
    <xf numFmtId="0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165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hiftTable" displayName="ShiftTable" ref="A1:E5" headerRowCount="1">
  <autoFilter ref="A1:E5"/>
  <tableColumns count="5">
    <tableColumn id="1" name="日付"/>
    <tableColumn id="2" name="早番"/>
    <tableColumn id="3" name="遅番"/>
    <tableColumn id="4" name="夜間待機"/>
    <tableColumn id="5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>
      <c r="A1" s="1" t="inlineStr">
        <is>
          <t>勤務実績表 2026年4月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</row>
    <row r="3">
      <c r="A3" s="4" t="inlineStr">
        <is>
          <t>社員番号</t>
        </is>
      </c>
      <c r="B3" s="4" t="inlineStr">
        <is>
          <t>氏名</t>
        </is>
      </c>
      <c r="C3" s="4" t="inlineStr">
        <is>
          <t>所属</t>
        </is>
      </c>
      <c r="D3" s="1" t="n">
        <v>1</v>
      </c>
      <c r="E3" s="1" t="n">
        <v>2</v>
      </c>
      <c r="F3" s="1" t="n">
        <v>3</v>
      </c>
      <c r="G3" s="5" t="n">
        <v>4</v>
      </c>
      <c r="H3" s="6" t="n">
        <v>5</v>
      </c>
      <c r="I3" s="1" t="n">
        <v>6</v>
      </c>
      <c r="J3" s="1" t="n">
        <v>7</v>
      </c>
      <c r="K3" s="1" t="n">
        <v>8</v>
      </c>
      <c r="L3" s="1" t="n">
        <v>9</v>
      </c>
      <c r="M3" s="1" t="n">
        <v>10</v>
      </c>
      <c r="N3" s="5" t="n">
        <v>11</v>
      </c>
      <c r="O3" s="6" t="n">
        <v>12</v>
      </c>
      <c r="P3" s="1" t="n">
        <v>13</v>
      </c>
      <c r="Q3" s="1" t="n">
        <v>14</v>
      </c>
      <c r="R3" s="1" t="n">
        <v>15</v>
      </c>
      <c r="S3" s="1" t="n">
        <v>16</v>
      </c>
      <c r="T3" s="1" t="n">
        <v>17</v>
      </c>
      <c r="U3" s="5" t="n">
        <v>18</v>
      </c>
      <c r="V3" s="6" t="n">
        <v>19</v>
      </c>
      <c r="W3" s="1" t="n">
        <v>20</v>
      </c>
      <c r="X3" s="1" t="n">
        <v>21</v>
      </c>
      <c r="Y3" s="1" t="n">
        <v>22</v>
      </c>
      <c r="Z3" s="1" t="n">
        <v>23</v>
      </c>
      <c r="AA3" s="1" t="n">
        <v>24</v>
      </c>
      <c r="AB3" s="5" t="n">
        <v>25</v>
      </c>
      <c r="AC3" s="6" t="n">
        <v>26</v>
      </c>
      <c r="AD3" s="1" t="n">
        <v>27</v>
      </c>
      <c r="AE3" s="1" t="n">
        <v>28</v>
      </c>
      <c r="AF3" s="1" t="n">
        <v>29</v>
      </c>
      <c r="AG3" s="1" t="n">
        <v>30</v>
      </c>
      <c r="AH3" s="4" t="inlineStr">
        <is>
          <t>出勤日数</t>
        </is>
      </c>
      <c r="AI3" s="4" t="inlineStr">
        <is>
          <t>有休日数</t>
        </is>
      </c>
      <c r="AJ3" s="4" t="inlineStr">
        <is>
          <t>休日日数</t>
        </is>
      </c>
      <c r="AK3" s="4" t="inlineStr">
        <is>
          <t>備考</t>
        </is>
      </c>
    </row>
    <row r="4">
      <c r="A4" s="7" t="n"/>
      <c r="B4" s="7" t="n"/>
      <c r="C4" s="7" t="n"/>
      <c r="D4" s="1" t="inlineStr">
        <is>
          <t>水</t>
        </is>
      </c>
      <c r="E4" s="1" t="inlineStr">
        <is>
          <t>木</t>
        </is>
      </c>
      <c r="F4" s="1" t="inlineStr">
        <is>
          <t>金</t>
        </is>
      </c>
      <c r="G4" s="5" t="inlineStr">
        <is>
          <t>土</t>
        </is>
      </c>
      <c r="H4" s="6" t="inlineStr">
        <is>
          <t>日</t>
        </is>
      </c>
      <c r="I4" s="1" t="inlineStr">
        <is>
          <t>月</t>
        </is>
      </c>
      <c r="J4" s="1" t="inlineStr">
        <is>
          <t>火</t>
        </is>
      </c>
      <c r="K4" s="1" t="inlineStr">
        <is>
          <t>水</t>
        </is>
      </c>
      <c r="L4" s="1" t="inlineStr">
        <is>
          <t>木</t>
        </is>
      </c>
      <c r="M4" s="1" t="inlineStr">
        <is>
          <t>金</t>
        </is>
      </c>
      <c r="N4" s="5" t="inlineStr">
        <is>
          <t>土</t>
        </is>
      </c>
      <c r="O4" s="6" t="inlineStr">
        <is>
          <t>日</t>
        </is>
      </c>
      <c r="P4" s="1" t="inlineStr">
        <is>
          <t>月</t>
        </is>
      </c>
      <c r="Q4" s="1" t="inlineStr">
        <is>
          <t>火</t>
        </is>
      </c>
      <c r="R4" s="1" t="inlineStr">
        <is>
          <t>水</t>
        </is>
      </c>
      <c r="S4" s="1" t="inlineStr">
        <is>
          <t>木</t>
        </is>
      </c>
      <c r="T4" s="1" t="inlineStr">
        <is>
          <t>金</t>
        </is>
      </c>
      <c r="U4" s="5" t="inlineStr">
        <is>
          <t>土</t>
        </is>
      </c>
      <c r="V4" s="6" t="inlineStr">
        <is>
          <t>日</t>
        </is>
      </c>
      <c r="W4" s="1" t="inlineStr">
        <is>
          <t>月</t>
        </is>
      </c>
      <c r="X4" s="1" t="inlineStr">
        <is>
          <t>火</t>
        </is>
      </c>
      <c r="Y4" s="1" t="inlineStr">
        <is>
          <t>水</t>
        </is>
      </c>
      <c r="Z4" s="1" t="inlineStr">
        <is>
          <t>木</t>
        </is>
      </c>
      <c r="AA4" s="1" t="inlineStr">
        <is>
          <t>金</t>
        </is>
      </c>
      <c r="AB4" s="5" t="inlineStr">
        <is>
          <t>土</t>
        </is>
      </c>
      <c r="AC4" s="6" t="inlineStr">
        <is>
          <t>日</t>
        </is>
      </c>
      <c r="AD4" s="1" t="inlineStr">
        <is>
          <t>月</t>
        </is>
      </c>
      <c r="AE4" s="1" t="inlineStr">
        <is>
          <t>火</t>
        </is>
      </c>
      <c r="AF4" s="1" t="inlineStr">
        <is>
          <t>水</t>
        </is>
      </c>
      <c r="AG4" s="1" t="inlineStr">
        <is>
          <t>木</t>
        </is>
      </c>
      <c r="AH4" s="7" t="n"/>
      <c r="AI4" s="7" t="n"/>
      <c r="AJ4" s="7" t="n"/>
      <c r="AK4" s="7" t="n"/>
    </row>
    <row r="5">
      <c r="A5" s="8" t="inlineStr">
        <is>
          <t>E001</t>
        </is>
      </c>
      <c r="B5" s="8" t="inlineStr">
        <is>
          <t>田中</t>
        </is>
      </c>
      <c r="C5" s="8" t="inlineStr">
        <is>
          <t>営業1課</t>
        </is>
      </c>
      <c r="D5" s="9" t="inlineStr">
        <is>
          <t>出</t>
        </is>
      </c>
      <c r="E5" s="9" t="inlineStr">
        <is>
          <t>出</t>
        </is>
      </c>
      <c r="F5" s="9" t="inlineStr">
        <is>
          <t>出</t>
        </is>
      </c>
      <c r="G5" s="9" t="inlineStr">
        <is>
          <t>出</t>
        </is>
      </c>
      <c r="H5" s="9" t="inlineStr">
        <is>
          <t>出</t>
        </is>
      </c>
      <c r="I5" s="10" t="inlineStr">
        <is>
          <t>休</t>
        </is>
      </c>
      <c r="J5" s="10" t="inlineStr">
        <is>
          <t>休</t>
        </is>
      </c>
      <c r="K5" s="9" t="inlineStr">
        <is>
          <t>出</t>
        </is>
      </c>
      <c r="L5" s="9" t="inlineStr">
        <is>
          <t>出</t>
        </is>
      </c>
      <c r="M5" s="8" t="inlineStr">
        <is>
          <t>有</t>
        </is>
      </c>
      <c r="N5" s="8" t="inlineStr">
        <is>
          <t>有</t>
        </is>
      </c>
      <c r="O5" s="9" t="inlineStr">
        <is>
          <t>出</t>
        </is>
      </c>
      <c r="P5" s="9" t="inlineStr">
        <is>
          <t>出</t>
        </is>
      </c>
      <c r="Q5" s="10" t="inlineStr">
        <is>
          <t>休</t>
        </is>
      </c>
      <c r="R5" s="10" t="inlineStr">
        <is>
          <t>休</t>
        </is>
      </c>
      <c r="S5" s="9" t="inlineStr">
        <is>
          <t>出</t>
        </is>
      </c>
      <c r="T5" s="9" t="inlineStr">
        <is>
          <t>出</t>
        </is>
      </c>
      <c r="U5" s="9" t="inlineStr">
        <is>
          <t>出</t>
        </is>
      </c>
      <c r="V5" s="8" t="inlineStr">
        <is>
          <t>遅</t>
        </is>
      </c>
      <c r="W5" s="9" t="inlineStr">
        <is>
          <t>出</t>
        </is>
      </c>
      <c r="X5" s="10" t="inlineStr">
        <is>
          <t>休</t>
        </is>
      </c>
      <c r="Y5" s="10" t="inlineStr">
        <is>
          <t>休</t>
        </is>
      </c>
      <c r="Z5" s="9" t="inlineStr">
        <is>
          <t>出</t>
        </is>
      </c>
      <c r="AA5" s="9" t="inlineStr">
        <is>
          <t>出</t>
        </is>
      </c>
      <c r="AB5" s="9" t="inlineStr">
        <is>
          <t>出</t>
        </is>
      </c>
      <c r="AC5" s="9" t="inlineStr">
        <is>
          <t>出</t>
        </is>
      </c>
      <c r="AD5" s="9" t="inlineStr">
        <is>
          <t>出</t>
        </is>
      </c>
      <c r="AE5" s="10" t="inlineStr">
        <is>
          <t>休</t>
        </is>
      </c>
      <c r="AF5" s="10" t="inlineStr">
        <is>
          <t>休</t>
        </is>
      </c>
      <c r="AG5" s="9" t="inlineStr">
        <is>
          <t>出</t>
        </is>
      </c>
      <c r="AH5" s="8">
        <f>COUNTIF(D5:AG5,"出")+COUNTIF(D5:AG5,"在")+COUNTIF(D5:AG5,"遅")</f>
        <v/>
      </c>
      <c r="AI5" s="8">
        <f>COUNTIF(D5:AG5,"有")+COUNTIF(D5:AG5,"半")</f>
        <v/>
      </c>
      <c r="AJ5" s="8">
        <f>COUNTIF(D5:AG5,"休")</f>
        <v/>
      </c>
      <c r="AK5" s="11" t="inlineStr">
        <is>
          <t>勤怠締め済み</t>
        </is>
      </c>
    </row>
    <row r="6">
      <c r="A6" s="8" t="inlineStr">
        <is>
          <t>E002</t>
        </is>
      </c>
      <c r="B6" s="8" t="inlineStr">
        <is>
          <t>鈴木</t>
        </is>
      </c>
      <c r="C6" s="8" t="inlineStr">
        <is>
          <t>営業2課</t>
        </is>
      </c>
      <c r="D6" s="9" t="inlineStr">
        <is>
          <t>出</t>
        </is>
      </c>
      <c r="E6" s="9" t="inlineStr">
        <is>
          <t>在</t>
        </is>
      </c>
      <c r="F6" s="9" t="inlineStr">
        <is>
          <t>出</t>
        </is>
      </c>
      <c r="G6" s="9" t="inlineStr">
        <is>
          <t>出</t>
        </is>
      </c>
      <c r="H6" s="9" t="inlineStr">
        <is>
          <t>出</t>
        </is>
      </c>
      <c r="I6" s="10" t="inlineStr">
        <is>
          <t>休</t>
        </is>
      </c>
      <c r="J6" s="10" t="inlineStr">
        <is>
          <t>休</t>
        </is>
      </c>
      <c r="K6" s="9" t="inlineStr">
        <is>
          <t>出</t>
        </is>
      </c>
      <c r="L6" s="8" t="inlineStr">
        <is>
          <t>遅</t>
        </is>
      </c>
      <c r="M6" s="9" t="inlineStr">
        <is>
          <t>出</t>
        </is>
      </c>
      <c r="N6" s="8" t="inlineStr">
        <is>
          <t>半</t>
        </is>
      </c>
      <c r="O6" s="9" t="inlineStr">
        <is>
          <t>出</t>
        </is>
      </c>
      <c r="P6" s="9" t="inlineStr">
        <is>
          <t>出</t>
        </is>
      </c>
      <c r="Q6" s="10" t="inlineStr">
        <is>
          <t>休</t>
        </is>
      </c>
      <c r="R6" s="10" t="inlineStr">
        <is>
          <t>休</t>
        </is>
      </c>
      <c r="S6" s="9" t="inlineStr">
        <is>
          <t>出</t>
        </is>
      </c>
      <c r="T6" s="9" t="inlineStr">
        <is>
          <t>在</t>
        </is>
      </c>
      <c r="U6" s="9" t="inlineStr">
        <is>
          <t>出</t>
        </is>
      </c>
      <c r="V6" s="9" t="inlineStr">
        <is>
          <t>出</t>
        </is>
      </c>
      <c r="W6" s="9" t="inlineStr">
        <is>
          <t>出</t>
        </is>
      </c>
      <c r="X6" s="10" t="inlineStr">
        <is>
          <t>休</t>
        </is>
      </c>
      <c r="Y6" s="10" t="inlineStr">
        <is>
          <t>休</t>
        </is>
      </c>
      <c r="Z6" s="8" t="inlineStr">
        <is>
          <t>有</t>
        </is>
      </c>
      <c r="AA6" s="8" t="inlineStr">
        <is>
          <t>有</t>
        </is>
      </c>
      <c r="AB6" s="9" t="inlineStr">
        <is>
          <t>出</t>
        </is>
      </c>
      <c r="AC6" s="9" t="inlineStr">
        <is>
          <t>出</t>
        </is>
      </c>
      <c r="AD6" s="9" t="inlineStr">
        <is>
          <t>出</t>
        </is>
      </c>
      <c r="AE6" s="10" t="inlineStr">
        <is>
          <t>休</t>
        </is>
      </c>
      <c r="AF6" s="10" t="inlineStr">
        <is>
          <t>休</t>
        </is>
      </c>
      <c r="AG6" s="9" t="inlineStr">
        <is>
          <t>出</t>
        </is>
      </c>
      <c r="AH6" s="8">
        <f>COUNTIF(D6:AG6,"出")+COUNTIF(D6:AG6,"在")+COUNTIF(D6:AG6,"遅")</f>
        <v/>
      </c>
      <c r="AI6" s="8">
        <f>COUNTIF(D6:AG6,"有")+COUNTIF(D6:AG6,"半")</f>
        <v/>
      </c>
      <c r="AJ6" s="8">
        <f>COUNTIF(D6:AG6,"休")</f>
        <v/>
      </c>
      <c r="AK6" s="11" t="inlineStr">
        <is>
          <t>勤怠締め済み</t>
        </is>
      </c>
    </row>
    <row r="7">
      <c r="A7" s="8" t="inlineStr">
        <is>
          <t>E003</t>
        </is>
      </c>
      <c r="B7" s="8" t="inlineStr">
        <is>
          <t>佐藤</t>
        </is>
      </c>
      <c r="C7" s="8" t="inlineStr">
        <is>
          <t>運用</t>
        </is>
      </c>
      <c r="D7" s="9" t="inlineStr">
        <is>
          <t>出</t>
        </is>
      </c>
      <c r="E7" s="9" t="inlineStr">
        <is>
          <t>出</t>
        </is>
      </c>
      <c r="F7" s="9" t="inlineStr">
        <is>
          <t>出</t>
        </is>
      </c>
      <c r="G7" s="8" t="inlineStr">
        <is>
          <t>遅</t>
        </is>
      </c>
      <c r="H7" s="9" t="inlineStr">
        <is>
          <t>出</t>
        </is>
      </c>
      <c r="I7" s="10" t="inlineStr">
        <is>
          <t>休</t>
        </is>
      </c>
      <c r="J7" s="10" t="inlineStr">
        <is>
          <t>休</t>
        </is>
      </c>
      <c r="K7" s="9" t="inlineStr">
        <is>
          <t>在</t>
        </is>
      </c>
      <c r="L7" s="9" t="inlineStr">
        <is>
          <t>出</t>
        </is>
      </c>
      <c r="M7" s="9" t="inlineStr">
        <is>
          <t>出</t>
        </is>
      </c>
      <c r="N7" s="9" t="inlineStr">
        <is>
          <t>出</t>
        </is>
      </c>
      <c r="O7" s="9" t="inlineStr">
        <is>
          <t>出</t>
        </is>
      </c>
      <c r="P7" s="8" t="inlineStr">
        <is>
          <t>半</t>
        </is>
      </c>
      <c r="Q7" s="10" t="inlineStr">
        <is>
          <t>休</t>
        </is>
      </c>
      <c r="R7" s="10" t="inlineStr">
        <is>
          <t>休</t>
        </is>
      </c>
      <c r="S7" s="9" t="inlineStr">
        <is>
          <t>出</t>
        </is>
      </c>
      <c r="T7" s="9" t="inlineStr">
        <is>
          <t>出</t>
        </is>
      </c>
      <c r="U7" s="9" t="inlineStr">
        <is>
          <t>出</t>
        </is>
      </c>
      <c r="V7" s="9" t="inlineStr">
        <is>
          <t>出</t>
        </is>
      </c>
      <c r="W7" s="9" t="inlineStr">
        <is>
          <t>出</t>
        </is>
      </c>
      <c r="X7" s="10" t="inlineStr">
        <is>
          <t>休</t>
        </is>
      </c>
      <c r="Y7" s="10" t="inlineStr">
        <is>
          <t>休</t>
        </is>
      </c>
      <c r="Z7" s="9" t="inlineStr">
        <is>
          <t>出</t>
        </is>
      </c>
      <c r="AA7" s="9" t="inlineStr">
        <is>
          <t>在</t>
        </is>
      </c>
      <c r="AB7" s="9" t="inlineStr">
        <is>
          <t>出</t>
        </is>
      </c>
      <c r="AC7" s="9" t="inlineStr">
        <is>
          <t>出</t>
        </is>
      </c>
      <c r="AD7" s="9" t="inlineStr">
        <is>
          <t>出</t>
        </is>
      </c>
      <c r="AE7" s="10" t="inlineStr">
        <is>
          <t>休</t>
        </is>
      </c>
      <c r="AF7" s="10" t="inlineStr">
        <is>
          <t>休</t>
        </is>
      </c>
      <c r="AG7" s="9" t="inlineStr">
        <is>
          <t>出</t>
        </is>
      </c>
      <c r="AH7" s="8">
        <f>COUNTIF(D7:AG7,"出")+COUNTIF(D7:AG7,"在")+COUNTIF(D7:AG7,"遅")</f>
        <v/>
      </c>
      <c r="AI7" s="8">
        <f>COUNTIF(D7:AG7,"有")+COUNTIF(D7:AG7,"半")</f>
        <v/>
      </c>
      <c r="AJ7" s="8">
        <f>COUNTIF(D7:AG7,"休")</f>
        <v/>
      </c>
      <c r="AK7" s="11" t="inlineStr">
        <is>
          <t>勤怠締め済み</t>
        </is>
      </c>
    </row>
    <row r="8">
      <c r="A8" s="8" t="inlineStr">
        <is>
          <t>E004</t>
        </is>
      </c>
      <c r="B8" s="8" t="inlineStr">
        <is>
          <t>高橋</t>
        </is>
      </c>
      <c r="C8" s="8" t="inlineStr">
        <is>
          <t>開発</t>
        </is>
      </c>
      <c r="D8" s="9" t="inlineStr">
        <is>
          <t>在</t>
        </is>
      </c>
      <c r="E8" s="9" t="inlineStr">
        <is>
          <t>在</t>
        </is>
      </c>
      <c r="F8" s="9" t="inlineStr">
        <is>
          <t>出</t>
        </is>
      </c>
      <c r="G8" s="9" t="inlineStr">
        <is>
          <t>出</t>
        </is>
      </c>
      <c r="H8" s="9" t="inlineStr">
        <is>
          <t>出</t>
        </is>
      </c>
      <c r="I8" s="10" t="inlineStr">
        <is>
          <t>休</t>
        </is>
      </c>
      <c r="J8" s="10" t="inlineStr">
        <is>
          <t>休</t>
        </is>
      </c>
      <c r="K8" s="9" t="inlineStr">
        <is>
          <t>出</t>
        </is>
      </c>
      <c r="L8" s="9" t="inlineStr">
        <is>
          <t>出</t>
        </is>
      </c>
      <c r="M8" s="9" t="inlineStr">
        <is>
          <t>出</t>
        </is>
      </c>
      <c r="N8" s="9" t="inlineStr">
        <is>
          <t>出</t>
        </is>
      </c>
      <c r="O8" s="9" t="inlineStr">
        <is>
          <t>出</t>
        </is>
      </c>
      <c r="P8" s="9" t="inlineStr">
        <is>
          <t>出</t>
        </is>
      </c>
      <c r="Q8" s="10" t="inlineStr">
        <is>
          <t>休</t>
        </is>
      </c>
      <c r="R8" s="10" t="inlineStr">
        <is>
          <t>休</t>
        </is>
      </c>
      <c r="S8" s="8" t="inlineStr">
        <is>
          <t>有</t>
        </is>
      </c>
      <c r="T8" s="8" t="inlineStr">
        <is>
          <t>有</t>
        </is>
      </c>
      <c r="U8" s="9" t="inlineStr">
        <is>
          <t>出</t>
        </is>
      </c>
      <c r="V8" s="9" t="inlineStr">
        <is>
          <t>出</t>
        </is>
      </c>
      <c r="W8" s="8" t="inlineStr">
        <is>
          <t>遅</t>
        </is>
      </c>
      <c r="X8" s="10" t="inlineStr">
        <is>
          <t>休</t>
        </is>
      </c>
      <c r="Y8" s="10" t="inlineStr">
        <is>
          <t>休</t>
        </is>
      </c>
      <c r="Z8" s="9" t="inlineStr">
        <is>
          <t>出</t>
        </is>
      </c>
      <c r="AA8" s="9" t="inlineStr">
        <is>
          <t>出</t>
        </is>
      </c>
      <c r="AB8" s="9" t="inlineStr">
        <is>
          <t>出</t>
        </is>
      </c>
      <c r="AC8" s="8" t="inlineStr">
        <is>
          <t>半</t>
        </is>
      </c>
      <c r="AD8" s="9" t="inlineStr">
        <is>
          <t>出</t>
        </is>
      </c>
      <c r="AE8" s="10" t="inlineStr">
        <is>
          <t>休</t>
        </is>
      </c>
      <c r="AF8" s="10" t="inlineStr">
        <is>
          <t>休</t>
        </is>
      </c>
      <c r="AG8" s="9" t="inlineStr">
        <is>
          <t>出</t>
        </is>
      </c>
      <c r="AH8" s="8">
        <f>COUNTIF(D8:AG8,"出")+COUNTIF(D8:AG8,"在")+COUNTIF(D8:AG8,"遅")</f>
        <v/>
      </c>
      <c r="AI8" s="8">
        <f>COUNTIF(D8:AG8,"有")+COUNTIF(D8:AG8,"半")</f>
        <v/>
      </c>
      <c r="AJ8" s="8">
        <f>COUNTIF(D8:AG8,"休")</f>
        <v/>
      </c>
      <c r="AK8" s="11" t="inlineStr">
        <is>
          <t>勤怠締め済み</t>
        </is>
      </c>
    </row>
    <row r="11" hidden="1"/>
    <row r="12">
      <c r="A12" s="4" t="inlineStr">
        <is>
          <t>日別集計</t>
        </is>
      </c>
      <c r="B12" s="2" t="n"/>
      <c r="C12" s="3" t="n"/>
      <c r="D12" s="8">
        <f>COUNTIF(D5:D8,"出")+COUNTIF(D5:D8,"在")</f>
        <v/>
      </c>
      <c r="E12" s="8">
        <f>COUNTIF(E5:E8,"出")+COUNTIF(E5:E8,"在")</f>
        <v/>
      </c>
      <c r="F12" s="8">
        <f>COUNTIF(F5:F8,"出")+COUNTIF(F5:F8,"在")</f>
        <v/>
      </c>
      <c r="G12" s="8">
        <f>COUNTIF(G5:G8,"出")+COUNTIF(G5:G8,"在")</f>
        <v/>
      </c>
      <c r="H12" s="8">
        <f>COUNTIF(H5:H8,"出")+COUNTIF(H5:H8,"在")</f>
        <v/>
      </c>
      <c r="I12" s="8">
        <f>COUNTIF(I5:I8,"出")+COUNTIF(I5:I8,"在")</f>
        <v/>
      </c>
      <c r="J12" s="8">
        <f>COUNTIF(J5:J8,"出")+COUNTIF(J5:J8,"在")</f>
        <v/>
      </c>
      <c r="K12" s="8">
        <f>COUNTIF(K5:K8,"出")+COUNTIF(K5:K8,"在")</f>
        <v/>
      </c>
      <c r="L12" s="8">
        <f>COUNTIF(L5:L8,"出")+COUNTIF(L5:L8,"在")</f>
        <v/>
      </c>
      <c r="M12" s="8">
        <f>COUNTIF(M5:M8,"出")+COUNTIF(M5:M8,"在")</f>
        <v/>
      </c>
      <c r="N12" s="8">
        <f>COUNTIF(N5:N8,"出")+COUNTIF(N5:N8,"在")</f>
        <v/>
      </c>
      <c r="O12" s="8">
        <f>COUNTIF(O5:O8,"出")+COUNTIF(O5:O8,"在")</f>
        <v/>
      </c>
      <c r="P12" s="8">
        <f>COUNTIF(P5:P8,"出")+COUNTIF(P5:P8,"在")</f>
        <v/>
      </c>
      <c r="Q12" s="8">
        <f>COUNTIF(Q5:Q8,"出")+COUNTIF(Q5:Q8,"在")</f>
        <v/>
      </c>
      <c r="R12" s="8">
        <f>COUNTIF(R5:R8,"出")+COUNTIF(R5:R8,"在")</f>
        <v/>
      </c>
      <c r="S12" s="8">
        <f>COUNTIF(S5:S8,"出")+COUNTIF(S5:S8,"在")</f>
        <v/>
      </c>
      <c r="T12" s="8">
        <f>COUNTIF(T5:T8,"出")+COUNTIF(T5:T8,"在")</f>
        <v/>
      </c>
      <c r="U12" s="8">
        <f>COUNTIF(U5:U8,"出")+COUNTIF(U5:U8,"在")</f>
        <v/>
      </c>
      <c r="V12" s="8">
        <f>COUNTIF(V5:V8,"出")+COUNTIF(V5:V8,"在")</f>
        <v/>
      </c>
      <c r="W12" s="8">
        <f>COUNTIF(W5:W8,"出")+COUNTIF(W5:W8,"在")</f>
        <v/>
      </c>
      <c r="X12" s="8">
        <f>COUNTIF(X5:X8,"出")+COUNTIF(X5:X8,"在")</f>
        <v/>
      </c>
      <c r="Y12" s="8">
        <f>COUNTIF(Y5:Y8,"出")+COUNTIF(Y5:Y8,"在")</f>
        <v/>
      </c>
      <c r="Z12" s="8">
        <f>COUNTIF(Z5:Z8,"出")+COUNTIF(Z5:Z8,"在")</f>
        <v/>
      </c>
      <c r="AA12" s="8">
        <f>COUNTIF(AA5:AA8,"出")+COUNTIF(AA5:AA8,"在")</f>
        <v/>
      </c>
      <c r="AB12" s="8">
        <f>COUNTIF(AB5:AB8,"出")+COUNTIF(AB5:AB8,"在")</f>
        <v/>
      </c>
      <c r="AC12" s="8">
        <f>COUNTIF(AC5:AC8,"出")+COUNTIF(AC5:AC8,"在")</f>
        <v/>
      </c>
      <c r="AD12" s="8">
        <f>COUNTIF(AD5:AD8,"出")+COUNTIF(AD5:AD8,"在")</f>
        <v/>
      </c>
      <c r="AE12" s="8">
        <f>COUNTIF(AE5:AE8,"出")+COUNTIF(AE5:AE8,"在")</f>
        <v/>
      </c>
      <c r="AF12" s="8">
        <f>COUNTIF(AF5:AF8,"出")+COUNTIF(AF5:AF8,"在")</f>
        <v/>
      </c>
      <c r="AG12" s="8">
        <f>COUNTIF(AG5:AG8,"出")+COUNTIF(AG5:AG8,"在")</f>
        <v/>
      </c>
    </row>
  </sheetData>
  <mergeCells count="9">
    <mergeCell ref="C3:C4"/>
    <mergeCell ref="B3:B4"/>
    <mergeCell ref="A3:A4"/>
    <mergeCell ref="A12:C12"/>
    <mergeCell ref="AJ3:AJ4"/>
    <mergeCell ref="AH3:AH4"/>
    <mergeCell ref="AI3:AI4"/>
    <mergeCell ref="AK3:AK4"/>
    <mergeCell ref="A1:A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日付</t>
        </is>
      </c>
      <c r="B1" s="1" t="inlineStr">
        <is>
          <t>早番</t>
        </is>
      </c>
      <c r="C1" s="1" t="inlineStr">
        <is>
          <t>遅番</t>
        </is>
      </c>
      <c r="D1" s="1" t="inlineStr">
        <is>
          <t>夜間待機</t>
        </is>
      </c>
      <c r="E1" s="1" t="inlineStr">
        <is>
          <t>備考</t>
        </is>
      </c>
    </row>
    <row r="2">
      <c r="A2" s="12" t="n">
        <v>46113</v>
      </c>
      <c r="B2" s="13" t="inlineStr">
        <is>
          <t>田中</t>
        </is>
      </c>
      <c r="C2" s="13" t="inlineStr">
        <is>
          <t>鈴木</t>
        </is>
      </c>
      <c r="D2" s="13" t="inlineStr">
        <is>
          <t>佐藤</t>
        </is>
      </c>
      <c r="E2" s="13" t="inlineStr">
        <is>
          <t>月初対応</t>
        </is>
      </c>
    </row>
    <row r="3">
      <c r="A3" s="12" t="n">
        <v>46114</v>
      </c>
      <c r="B3" s="13" t="inlineStr">
        <is>
          <t>高橋</t>
        </is>
      </c>
      <c r="C3" s="13" t="inlineStr">
        <is>
          <t>田中</t>
        </is>
      </c>
      <c r="D3" s="13" t="inlineStr">
        <is>
          <t>鈴木</t>
        </is>
      </c>
      <c r="E3" s="13" t="inlineStr">
        <is>
          <t>通常</t>
        </is>
      </c>
    </row>
    <row r="4">
      <c r="A4" s="12" t="n">
        <v>46115</v>
      </c>
      <c r="B4" s="13" t="inlineStr">
        <is>
          <t>佐藤</t>
        </is>
      </c>
      <c r="C4" s="13" t="inlineStr">
        <is>
          <t>高橋</t>
        </is>
      </c>
      <c r="D4" s="13" t="inlineStr">
        <is>
          <t>田中</t>
        </is>
      </c>
      <c r="E4" s="13" t="inlineStr">
        <is>
          <t>障害対応待機</t>
        </is>
      </c>
    </row>
    <row r="5">
      <c r="A5" s="12" t="n">
        <v>46116</v>
      </c>
      <c r="B5" s="13" t="inlineStr">
        <is>
          <t>鈴木</t>
        </is>
      </c>
      <c r="C5" s="13" t="inlineStr">
        <is>
          <t>佐藤</t>
        </is>
      </c>
      <c r="D5" s="13" t="inlineStr">
        <is>
          <t>高橋</t>
        </is>
      </c>
      <c r="E5" s="13" t="inlineStr">
        <is>
          <t>土曜体制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